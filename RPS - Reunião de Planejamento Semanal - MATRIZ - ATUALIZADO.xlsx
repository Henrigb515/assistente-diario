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nalistavendas\Desktop\ANALISTA\ZAIDAN\"/>
    </mc:Choice>
  </mc:AlternateContent>
  <xr:revisionPtr revIDLastSave="0" documentId="13_ncr:1_{90BA9D8A-AFA2-46A1-AB2B-168DB935E68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PS - Indicadores" sheetId="1" r:id="rId1"/>
    <sheet name="Plano de Ação" sheetId="2" r:id="rId2"/>
    <sheet name="Config" sheetId="3" r:id="rId3"/>
  </sheets>
  <calcPr calcId="191029"/>
</workbook>
</file>

<file path=xl/calcChain.xml><?xml version="1.0" encoding="utf-8"?>
<calcChain xmlns="http://schemas.openxmlformats.org/spreadsheetml/2006/main">
  <c r="N34" i="1" l="1"/>
  <c r="N32" i="1"/>
  <c r="I32" i="1"/>
  <c r="D32" i="1"/>
  <c r="N31" i="1"/>
  <c r="I31" i="1"/>
  <c r="D31" i="1"/>
  <c r="N30" i="1"/>
  <c r="I30" i="1"/>
  <c r="D30" i="1"/>
  <c r="N29" i="1"/>
  <c r="I29" i="1"/>
  <c r="D29" i="1"/>
  <c r="L28" i="1"/>
  <c r="L27" i="1"/>
  <c r="L26" i="1"/>
  <c r="L25" i="1"/>
  <c r="L24" i="1"/>
  <c r="L22" i="1"/>
  <c r="L21" i="1"/>
  <c r="L23" i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N13" i="1" s="1"/>
  <c r="L12" i="1"/>
  <c r="N12" i="1" s="1"/>
  <c r="B9" i="1"/>
  <c r="O7" i="1" l="1"/>
  <c r="N45" i="1"/>
  <c r="N44" i="1"/>
  <c r="N43" i="1"/>
  <c r="N41" i="1"/>
  <c r="N37" i="1"/>
  <c r="N36" i="1"/>
  <c r="G9" i="1"/>
  <c r="I12" i="1"/>
  <c r="I13" i="1"/>
  <c r="I14" i="1"/>
  <c r="I15" i="1"/>
  <c r="I45" i="1"/>
  <c r="I44" i="1"/>
  <c r="I43" i="1"/>
  <c r="I41" i="1"/>
  <c r="I37" i="1"/>
  <c r="I36" i="1"/>
  <c r="I34" i="1"/>
  <c r="I28" i="1"/>
  <c r="I27" i="1"/>
  <c r="I26" i="1"/>
  <c r="I25" i="1"/>
  <c r="I24" i="1"/>
  <c r="I23" i="1"/>
  <c r="I22" i="1"/>
  <c r="I21" i="1"/>
  <c r="I19" i="1"/>
  <c r="I18" i="1"/>
  <c r="I17" i="1"/>
  <c r="I16" i="1"/>
  <c r="D12" i="1"/>
  <c r="D13" i="1"/>
  <c r="D14" i="1"/>
  <c r="D15" i="1"/>
  <c r="D45" i="1"/>
  <c r="D44" i="1"/>
  <c r="D43" i="1"/>
  <c r="D41" i="1"/>
  <c r="D37" i="1"/>
  <c r="D36" i="1"/>
  <c r="D34" i="1"/>
  <c r="D28" i="1"/>
  <c r="D27" i="1"/>
  <c r="N27" i="1" s="1"/>
  <c r="D26" i="1"/>
  <c r="D25" i="1"/>
  <c r="D24" i="1"/>
  <c r="D23" i="1"/>
  <c r="D22" i="1"/>
  <c r="D21" i="1"/>
  <c r="D19" i="1"/>
  <c r="D18" i="1"/>
  <c r="D17" i="1"/>
  <c r="D16" i="1"/>
  <c r="N28" i="1" l="1"/>
  <c r="N25" i="1"/>
  <c r="N24" i="1"/>
  <c r="N23" i="1"/>
  <c r="N22" i="1"/>
  <c r="N21" i="1"/>
  <c r="N26" i="1" l="1"/>
</calcChain>
</file>

<file path=xl/sharedStrings.xml><?xml version="1.0" encoding="utf-8"?>
<sst xmlns="http://schemas.openxmlformats.org/spreadsheetml/2006/main" count="81" uniqueCount="66">
  <si>
    <t>Preencha Meta, Real e Tendência. O % Atendimento é calculado automaticamente: Real ÷ Meta.</t>
  </si>
  <si>
    <t>Indicador</t>
  </si>
  <si>
    <t>Meta</t>
  </si>
  <si>
    <t>Real</t>
  </si>
  <si>
    <t>SELL OUT</t>
  </si>
  <si>
    <t>Volume total</t>
  </si>
  <si>
    <t>RGB</t>
  </si>
  <si>
    <t>Chopp</t>
  </si>
  <si>
    <t>Craft</t>
  </si>
  <si>
    <t>Premium</t>
  </si>
  <si>
    <t>Mainstream</t>
  </si>
  <si>
    <t>Economy</t>
  </si>
  <si>
    <t>NAB</t>
  </si>
  <si>
    <t>COBERTURAS</t>
  </si>
  <si>
    <t>Total</t>
  </si>
  <si>
    <t>FDS</t>
  </si>
  <si>
    <t>SKUs por PDV</t>
  </si>
  <si>
    <t>RGB Vs Total Produto</t>
  </si>
  <si>
    <t>Amstel RGB Vs HNK RGB</t>
  </si>
  <si>
    <t>HNK RGB Vs Total RGB</t>
  </si>
  <si>
    <t>HNK 0.0 Vs HNK Total</t>
  </si>
  <si>
    <t>TRADE</t>
  </si>
  <si>
    <t>Adesão das ações de Trade</t>
  </si>
  <si>
    <t>EXECUÇÃO</t>
  </si>
  <si>
    <t>IV (meta referência 90%)</t>
  </si>
  <si>
    <t>IAV (meta referência 50%)</t>
  </si>
  <si>
    <t>GIRO</t>
  </si>
  <si>
    <t>Giro de Refrigeração</t>
  </si>
  <si>
    <t>CLIENTES ESTÁVEIS RGB</t>
  </si>
  <si>
    <t>Compradores dos últimos 3 meses</t>
  </si>
  <si>
    <t>HEISHOP</t>
  </si>
  <si>
    <t>% Pedidos via Heishop</t>
  </si>
  <si>
    <t>% Faturamento via Heishop</t>
  </si>
  <si>
    <t>% Cobertura via Heishop</t>
  </si>
  <si>
    <t>REVISÃO DO PLANO DE AÇÃO — ÚLTIMA RPS</t>
  </si>
  <si>
    <t>Obrigatório: revisar cada plano da RPS anterior e registrar status, resultado/evidência e próximo passo.</t>
  </si>
  <si>
    <t>Supervisor</t>
  </si>
  <si>
    <t>Plano/Ação</t>
  </si>
  <si>
    <t>Indicador relacionado</t>
  </si>
  <si>
    <t>Responsável</t>
  </si>
  <si>
    <t>Prazo</t>
  </si>
  <si>
    <t>Status</t>
  </si>
  <si>
    <t>Resultado / evidência</t>
  </si>
  <si>
    <t>Próximo passo</t>
  </si>
  <si>
    <t>CONFIGURAÇÃO</t>
  </si>
  <si>
    <t>VALOR</t>
  </si>
  <si>
    <t>Supervisor 1</t>
  </si>
  <si>
    <t>Supervisor 2</t>
  </si>
  <si>
    <t>Faixa verde</t>
  </si>
  <si>
    <t>Faixa amarela</t>
  </si>
  <si>
    <t>Observação</t>
  </si>
  <si>
    <t>Edite os nomes dos supervisores nesta aba; os cabeçalhos do painel são vinculados automaticamente.</t>
  </si>
  <si>
    <t xml:space="preserve">% </t>
  </si>
  <si>
    <t>RPS — REUNIÃO DE PLANEJAMNTO SEMANAL</t>
  </si>
  <si>
    <t>Tend</t>
  </si>
  <si>
    <t>GV</t>
  </si>
  <si>
    <t>MATRIZ</t>
  </si>
  <si>
    <t>AGOSTO</t>
  </si>
  <si>
    <t>DIAS UTEIS</t>
  </si>
  <si>
    <t>PERCORIDOS</t>
  </si>
  <si>
    <t>RESTANTES</t>
  </si>
  <si>
    <t>Participantes</t>
  </si>
  <si>
    <t>Função</t>
  </si>
  <si>
    <t>DATA:</t>
  </si>
  <si>
    <t>SV 100</t>
  </si>
  <si>
    <t>SVM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</si>
</sst>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.##0"/>
    <numFmt numFmtId="166" formatCode="#,000"/>
    <numFmt numFmtId="167" formatCode="#,#00%"/>
    <numFmt numFmtId="168" formatCode="#.##"/>
    <numFmt numFmtId="169" formatCode="0.0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2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9E2F3"/>
      </patternFill>
    </fill>
    <fill>
      <patternFill patternType="solid">
        <fgColor rgb="FFF4F8FC"/>
      </patternFill>
    </fill>
    <fill>
      <patternFill patternType="solid">
        <fgColor rgb="FFF7F9FD"/>
      </patternFill>
    </fill>
    <fill>
      <patternFill patternType="solid">
        <fgColor rgb="FF388600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9" fontId="0" fillId="0" borderId="4" xfId="0" applyNumberForma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9" borderId="15" xfId="0" applyFill="1" applyBorder="1" applyAlignment="1">
      <alignment horizontal="center" vertical="center"/>
    </xf>
    <xf numFmtId="164" fontId="0" fillId="9" borderId="15" xfId="0" applyNumberForma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164" fontId="0" fillId="10" borderId="15" xfId="0" applyNumberFormat="1" applyFill="1" applyBorder="1" applyAlignment="1">
      <alignment horizontal="center" vertical="center"/>
    </xf>
    <xf numFmtId="0" fontId="0" fillId="0" borderId="15" xfId="0" applyBorder="1"/>
    <xf numFmtId="0" fontId="5" fillId="11" borderId="15" xfId="0" applyFont="1" applyFill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164" fontId="0" fillId="9" borderId="21" xfId="0" applyNumberFormat="1" applyFill="1" applyBorder="1" applyAlignment="1">
      <alignment horizontal="center" vertical="center"/>
    </xf>
    <xf numFmtId="164" fontId="0" fillId="10" borderId="21" xfId="0" applyNumberFormat="1" applyFill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164" fontId="0" fillId="9" borderId="22" xfId="0" applyNumberFormat="1" applyFill="1" applyBorder="1" applyAlignment="1">
      <alignment horizontal="center" vertical="center"/>
    </xf>
    <xf numFmtId="164" fontId="0" fillId="10" borderId="22" xfId="0" applyNumberFormat="1" applyFill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164" fontId="0" fillId="9" borderId="26" xfId="0" applyNumberFormat="1" applyFill="1" applyBorder="1" applyAlignment="1">
      <alignment horizontal="center" vertical="center"/>
    </xf>
    <xf numFmtId="164" fontId="0" fillId="10" borderId="26" xfId="0" applyNumberForma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2" borderId="22" xfId="0" applyFill="1" applyBorder="1" applyAlignment="1">
      <alignment horizontal="center" vertical="center"/>
    </xf>
    <xf numFmtId="165" fontId="0" fillId="9" borderId="22" xfId="0" applyNumberFormat="1" applyFill="1" applyBorder="1" applyAlignment="1">
      <alignment horizontal="center" vertical="center"/>
    </xf>
    <xf numFmtId="165" fontId="0" fillId="9" borderId="15" xfId="0" applyNumberFormat="1" applyFill="1" applyBorder="1" applyAlignment="1">
      <alignment horizontal="center" vertical="center"/>
    </xf>
    <xf numFmtId="166" fontId="0" fillId="9" borderId="15" xfId="0" applyNumberFormat="1" applyFill="1" applyBorder="1" applyAlignment="1">
      <alignment horizontal="center" vertical="center"/>
    </xf>
    <xf numFmtId="165" fontId="0" fillId="9" borderId="21" xfId="0" applyNumberFormat="1" applyFill="1" applyBorder="1" applyAlignment="1">
      <alignment horizontal="center" vertical="center"/>
    </xf>
    <xf numFmtId="165" fontId="0" fillId="9" borderId="26" xfId="0" applyNumberFormat="1" applyFill="1" applyBorder="1" applyAlignment="1">
      <alignment horizontal="center" vertical="center"/>
    </xf>
    <xf numFmtId="167" fontId="0" fillId="9" borderId="22" xfId="0" applyNumberFormat="1" applyFill="1" applyBorder="1" applyAlignment="1">
      <alignment horizontal="center" vertical="center"/>
    </xf>
    <xf numFmtId="166" fontId="0" fillId="9" borderId="22" xfId="0" applyNumberFormat="1" applyFill="1" applyBorder="1" applyAlignment="1">
      <alignment horizontal="center" vertical="center"/>
    </xf>
    <xf numFmtId="167" fontId="0" fillId="9" borderId="15" xfId="0" applyNumberFormat="1" applyFill="1" applyBorder="1" applyAlignment="1">
      <alignment horizontal="center" vertical="center"/>
    </xf>
    <xf numFmtId="165" fontId="0" fillId="10" borderId="15" xfId="0" applyNumberFormat="1" applyFill="1" applyBorder="1" applyAlignment="1">
      <alignment horizontal="center" vertical="center"/>
    </xf>
    <xf numFmtId="165" fontId="0" fillId="10" borderId="21" xfId="0" applyNumberFormat="1" applyFill="1" applyBorder="1" applyAlignment="1">
      <alignment horizontal="center" vertical="center"/>
    </xf>
    <xf numFmtId="165" fontId="0" fillId="10" borderId="26" xfId="0" applyNumberFormat="1" applyFill="1" applyBorder="1" applyAlignment="1">
      <alignment horizontal="center" vertical="center"/>
    </xf>
    <xf numFmtId="167" fontId="0" fillId="10" borderId="22" xfId="0" applyNumberFormat="1" applyFill="1" applyBorder="1" applyAlignment="1">
      <alignment horizontal="center" vertical="center"/>
    </xf>
    <xf numFmtId="166" fontId="0" fillId="10" borderId="22" xfId="0" applyNumberFormat="1" applyFill="1" applyBorder="1" applyAlignment="1">
      <alignment horizontal="center" vertical="center"/>
    </xf>
    <xf numFmtId="167" fontId="0" fillId="10" borderId="15" xfId="0" applyNumberFormat="1" applyFill="1" applyBorder="1" applyAlignment="1">
      <alignment horizontal="center" vertical="center"/>
    </xf>
    <xf numFmtId="165" fontId="0" fillId="10" borderId="22" xfId="0" applyNumberFormat="1" applyFill="1" applyBorder="1" applyAlignment="1">
      <alignment horizontal="center" vertical="center"/>
    </xf>
    <xf numFmtId="168" fontId="0" fillId="9" borderId="22" xfId="0" applyNumberFormat="1" applyFill="1" applyBorder="1" applyAlignment="1">
      <alignment horizontal="center" vertical="center"/>
    </xf>
    <xf numFmtId="168" fontId="0" fillId="9" borderId="15" xfId="0" applyNumberFormat="1" applyFill="1" applyBorder="1" applyAlignment="1">
      <alignment horizontal="center" vertical="center"/>
    </xf>
    <xf numFmtId="168" fontId="0" fillId="10" borderId="15" xfId="0" applyNumberFormat="1" applyFill="1" applyBorder="1" applyAlignment="1">
      <alignment horizontal="center" vertical="center"/>
    </xf>
    <xf numFmtId="168" fontId="0" fillId="10" borderId="22" xfId="0" applyNumberFormat="1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center" vertical="center"/>
    </xf>
    <xf numFmtId="169" fontId="0" fillId="10" borderId="22" xfId="0" applyNumberForma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color rgb="FF595959"/>
      </font>
      <fill>
        <patternFill patternType="solid">
          <bgColor rgb="FFD9D9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showGridLines="0" tabSelected="1" topLeftCell="A21" zoomScaleNormal="60" zoomScaleSheetLayoutView="100" workbookViewId="0">
      <selection activeCell="P41" sqref="P41"/>
    </sheetView>
  </sheetViews>
  <sheetFormatPr defaultRowHeight="14.25"/>
  <cols>
    <col min="1" max="1" width="34" customWidth="1"/>
    <col min="2" max="3" width="11.125" customWidth="1"/>
    <col min="4" max="5" width="7.125" customWidth="1"/>
    <col min="6" max="6" width="1.25" customWidth="1"/>
    <col min="7" max="8" width="11.125" customWidth="1"/>
    <col min="9" max="10" width="7.125" customWidth="1"/>
    <col min="11" max="11" width="1.25" customWidth="1"/>
    <col min="12" max="13" width="11.125" customWidth="1"/>
    <col min="14" max="14" width="9.125" customWidth="1"/>
    <col min="15" max="15" width="7.125" customWidth="1"/>
  </cols>
  <sheetData>
    <row r="1" spans="1:15" ht="27.95" customHeight="1">
      <c r="A1" s="71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21.95" hidden="1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19"/>
    </row>
    <row r="3" spans="1:15" ht="18.600000000000001" customHeight="1">
      <c r="A3" s="42" t="s">
        <v>61</v>
      </c>
      <c r="B3" s="79" t="s">
        <v>62</v>
      </c>
      <c r="C3" s="80"/>
      <c r="D3" s="81" t="s">
        <v>61</v>
      </c>
      <c r="E3" s="82"/>
      <c r="F3" s="82"/>
      <c r="G3" s="82"/>
      <c r="H3" s="83"/>
      <c r="I3" s="79" t="s">
        <v>62</v>
      </c>
      <c r="J3" s="80"/>
      <c r="L3" s="72" t="s">
        <v>63</v>
      </c>
      <c r="M3" s="72"/>
      <c r="N3" s="84" t="inlineStr">
        <is>
          <t>21/08/2026</t>
        </is>
      </c>
      <c r="O3" s="84"/>
    </row>
    <row r="4" spans="1:15" ht="15.6" customHeight="1">
      <c r="A4" s="25"/>
      <c r="B4" s="43"/>
      <c r="C4" s="44"/>
      <c r="D4" s="84"/>
      <c r="E4" s="84"/>
      <c r="F4" s="84"/>
      <c r="G4" s="84"/>
      <c r="H4" s="84"/>
      <c r="I4" s="79"/>
      <c r="J4" s="80"/>
      <c r="L4" s="72" t="s">
        <v>57</v>
      </c>
      <c r="M4" s="72"/>
      <c r="N4" s="72"/>
      <c r="O4" s="72"/>
    </row>
    <row r="5" spans="1:15" ht="15.6" customHeight="1">
      <c r="A5" s="25"/>
      <c r="B5" s="43"/>
      <c r="C5" s="44"/>
      <c r="D5" s="84"/>
      <c r="E5" s="84"/>
      <c r="F5" s="84"/>
      <c r="G5" s="84"/>
      <c r="H5" s="84"/>
      <c r="I5" s="79"/>
      <c r="J5" s="80"/>
      <c r="L5" s="72" t="s">
        <v>58</v>
      </c>
      <c r="M5" s="72"/>
      <c r="N5" s="72"/>
      <c r="O5" s="26">
        <v>21</v>
      </c>
    </row>
    <row r="6" spans="1:15" ht="15.6" customHeight="1">
      <c r="A6" s="25"/>
      <c r="B6" s="43"/>
      <c r="C6" s="44"/>
      <c r="D6" s="84"/>
      <c r="E6" s="84"/>
      <c r="F6" s="84"/>
      <c r="G6" s="84"/>
      <c r="H6" s="84"/>
      <c r="I6" s="79"/>
      <c r="J6" s="80"/>
      <c r="L6" s="72" t="s">
        <v>59</v>
      </c>
      <c r="M6" s="72"/>
      <c r="N6" s="72"/>
      <c r="O6" s="26">
        <v>15</v>
      </c>
    </row>
    <row r="7" spans="1:15" ht="15.6" customHeight="1">
      <c r="A7" s="25"/>
      <c r="B7" s="43"/>
      <c r="C7" s="44"/>
      <c r="D7" s="84"/>
      <c r="E7" s="84"/>
      <c r="F7" s="84"/>
      <c r="G7" s="84"/>
      <c r="H7" s="84"/>
      <c r="I7" s="79"/>
      <c r="J7" s="80"/>
      <c r="L7" s="72" t="s">
        <v>60</v>
      </c>
      <c r="M7" s="72"/>
      <c r="N7" s="72"/>
      <c r="O7" s="26">
        <f>O5-O6</f>
        <v>6</v>
      </c>
    </row>
    <row r="8" spans="1:15" ht="15.6" customHeight="1"/>
    <row r="9" spans="1:15" ht="24" customHeight="1">
      <c r="A9" s="41" t="s">
        <v>56</v>
      </c>
      <c r="B9" s="69" t="str">
        <f>Config!B2</f>
        <v>SV 100</v>
      </c>
      <c r="C9" s="69"/>
      <c r="D9" s="69"/>
      <c r="E9" s="69"/>
      <c r="G9" s="70" t="str">
        <f>Config!B3</f>
        <v>SVM 200</v>
      </c>
      <c r="H9" s="70"/>
      <c r="I9" s="70"/>
      <c r="J9" s="70"/>
      <c r="L9" s="70" t="s">
        <v>55</v>
      </c>
      <c r="M9" s="70"/>
      <c r="N9" s="70"/>
      <c r="O9" s="70"/>
    </row>
    <row r="10" spans="1:15" ht="21.95" customHeight="1" thickBot="1">
      <c r="A10" s="40" t="s">
        <v>1</v>
      </c>
      <c r="B10" s="40" t="s">
        <v>2</v>
      </c>
      <c r="C10" s="40" t="s">
        <v>3</v>
      </c>
      <c r="D10" s="40" t="s">
        <v>52</v>
      </c>
      <c r="E10" s="40" t="s">
        <v>54</v>
      </c>
      <c r="G10" s="40" t="s">
        <v>2</v>
      </c>
      <c r="H10" s="40" t="s">
        <v>3</v>
      </c>
      <c r="I10" s="40" t="s">
        <v>52</v>
      </c>
      <c r="J10" s="40" t="s">
        <v>54</v>
      </c>
      <c r="L10" s="40" t="s">
        <v>2</v>
      </c>
      <c r="M10" s="40" t="s">
        <v>3</v>
      </c>
      <c r="N10" s="40" t="s">
        <v>52</v>
      </c>
      <c r="O10" s="40" t="s">
        <v>54</v>
      </c>
    </row>
    <row r="11" spans="1:15" ht="20.100000000000001" customHeight="1" thickBot="1">
      <c r="A11" s="73" t="s">
        <v>4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</row>
    <row r="12" spans="1:15">
      <c r="A12" s="30" t="s">
        <v>5</v>
      </c>
      <c r="B12" s="36">
        <v>4764</v>
      </c>
      <c r="C12" s="61">
        <v>2700.7846299999542</v>
      </c>
      <c r="D12" s="31">
        <f t="shared" ref="D12:D19" si="0">IF(OR(B12="",C12=""),"",IFERROR(C12/B12,""))</f>
        <v>0.56691532955498614</v>
      </c>
      <c r="E12" s="36"/>
      <c r="G12" s="36">
        <v>4455</v>
      </c>
      <c r="H12" s="61">
        <v>2594.4315399999487</v>
      </c>
      <c r="I12" s="32">
        <f t="shared" ref="I12:I19" si="1">IF(OR(G12="",H12=""),"",IFERROR(H12/G12,""))</f>
        <v>0.58236398204263717</v>
      </c>
      <c r="J12" s="37"/>
      <c r="L12" s="37">
        <f t="shared" ref="L12:L19" si="2">IF(N(B12)+N(G12)=0,"",B12+G12)</f>
        <v>9219</v>
      </c>
      <c r="M12" s="64">
        <v>5384.0200100000675</v>
      </c>
      <c r="N12" s="32">
        <f t="shared" ref="N12:N19" si="3">IF(OR(L12="",M12=""),"",IFERROR(M12/L12,""))</f>
        <v>0.58401345156742246</v>
      </c>
      <c r="O12" s="37"/>
    </row>
    <row r="13" spans="1:15">
      <c r="A13" s="20" t="s">
        <v>6</v>
      </c>
      <c r="B13" s="21">
        <v>1017</v>
      </c>
      <c r="C13" s="62">
        <v>463.92440000000477</v>
      </c>
      <c r="D13" s="22">
        <f t="shared" si="0"/>
        <v>0.45616951819076179</v>
      </c>
      <c r="E13" s="21"/>
      <c r="G13" s="23">
        <v>1312</v>
      </c>
      <c r="H13" s="63">
        <v>665.76480000000674</v>
      </c>
      <c r="I13" s="24">
        <f t="shared" si="1"/>
        <v>0.50744268292683437</v>
      </c>
      <c r="J13" s="23"/>
      <c r="L13" s="37">
        <f t="shared" si="2"/>
        <v>2329</v>
      </c>
      <c r="M13" s="64">
        <v>1195.0892000000101</v>
      </c>
      <c r="N13" s="32">
        <f t="shared" si="3"/>
        <v>0.5131340489480507</v>
      </c>
      <c r="O13" s="23"/>
    </row>
    <row r="14" spans="1:15">
      <c r="A14" s="20" t="s">
        <v>7</v>
      </c>
      <c r="B14" s="21"/>
      <c r="C14" s="62">
        <v>41</v>
      </c>
      <c r="D14" s="22" t="str">
        <f t="shared" si="0"/>
        <v/>
      </c>
      <c r="E14" s="21"/>
      <c r="G14" s="23"/>
      <c r="H14" s="63">
        <v>2</v>
      </c>
      <c r="I14" s="24" t="str">
        <f t="shared" si="1"/>
        <v/>
      </c>
      <c r="J14" s="23"/>
      <c r="L14" s="45" t="str">
        <f t="shared" si="2"/>
        <v/>
      </c>
      <c r="M14" s="64">
        <v>43</v>
      </c>
      <c r="N14" s="32" t="str">
        <f t="shared" si="3"/>
        <v/>
      </c>
      <c r="O14" s="23"/>
    </row>
    <row r="15" spans="1:15">
      <c r="A15" s="20" t="s">
        <v>8</v>
      </c>
      <c r="B15" s="21">
        <v>7</v>
      </c>
      <c r="C15" s="62">
        <v>6.7151999999999861</v>
      </c>
      <c r="D15" s="22">
        <f t="shared" si="0"/>
        <v>0.95931428571428368</v>
      </c>
      <c r="E15" s="21"/>
      <c r="G15" s="23">
        <v>7</v>
      </c>
      <c r="H15" s="63">
        <v>4.108199999999993</v>
      </c>
      <c r="I15" s="24">
        <f t="shared" si="1"/>
        <v>0.58688571428571323</v>
      </c>
      <c r="J15" s="23"/>
      <c r="L15" s="37">
        <f t="shared" si="2"/>
        <v>14</v>
      </c>
      <c r="M15" s="64">
        <v>10.908599999999989</v>
      </c>
      <c r="N15" s="32">
        <f t="shared" si="3"/>
        <v>0.77918571428571348</v>
      </c>
      <c r="O15" s="23"/>
    </row>
    <row r="16" spans="1:15">
      <c r="A16" s="20" t="s">
        <v>9</v>
      </c>
      <c r="B16" s="21">
        <v>2021</v>
      </c>
      <c r="C16" s="62">
        <v>1767.3432399999972</v>
      </c>
      <c r="D16" s="22">
        <f t="shared" si="0"/>
        <v>0.87448948045521879</v>
      </c>
      <c r="E16" s="21"/>
      <c r="G16" s="23">
        <v>1735</v>
      </c>
      <c r="H16" s="63">
        <v>1129.2137800000166</v>
      </c>
      <c r="I16" s="24">
        <f t="shared" si="1"/>
        <v>0.65084367723343894</v>
      </c>
      <c r="J16" s="23"/>
      <c r="L16" s="37">
        <f t="shared" si="2"/>
        <v>3756</v>
      </c>
      <c r="M16" s="64">
        <v>2941.2552199999532</v>
      </c>
      <c r="N16" s="32">
        <f t="shared" si="3"/>
        <v>0.7830817944621814</v>
      </c>
      <c r="O16" s="23"/>
    </row>
    <row r="17" spans="1:15">
      <c r="A17" s="20" t="s">
        <v>10</v>
      </c>
      <c r="B17" s="21">
        <v>1831</v>
      </c>
      <c r="C17" s="62">
        <v>679.77264000000696</v>
      </c>
      <c r="D17" s="22">
        <f t="shared" si="0"/>
        <v>0.37125758601857289</v>
      </c>
      <c r="E17" s="21"/>
      <c r="G17" s="23">
        <v>1416</v>
      </c>
      <c r="H17" s="63">
        <v>858.72440000000836</v>
      </c>
      <c r="I17" s="24">
        <f t="shared" si="1"/>
        <v>0.60644378531074039</v>
      </c>
      <c r="J17" s="23"/>
      <c r="L17" s="37">
        <f t="shared" si="2"/>
        <v>3247</v>
      </c>
      <c r="M17" s="64">
        <v>1576.5750800000062</v>
      </c>
      <c r="N17" s="32">
        <f t="shared" si="3"/>
        <v>0.48554822297505579</v>
      </c>
      <c r="O17" s="23"/>
    </row>
    <row r="18" spans="1:15">
      <c r="A18" s="20" t="s">
        <v>11</v>
      </c>
      <c r="B18" s="21">
        <v>433</v>
      </c>
      <c r="C18" s="62">
        <v>209.47024999999985</v>
      </c>
      <c r="D18" s="22">
        <f t="shared" si="0"/>
        <v>0.48376501154734375</v>
      </c>
      <c r="E18" s="21"/>
      <c r="G18" s="23">
        <v>795</v>
      </c>
      <c r="H18" s="63">
        <v>538.35436000000084</v>
      </c>
      <c r="I18" s="24">
        <f t="shared" si="1"/>
        <v>0.67717529559748535</v>
      </c>
      <c r="J18" s="23"/>
      <c r="L18" s="45">
        <f t="shared" si="2"/>
        <v>1228</v>
      </c>
      <c r="M18" s="64">
        <v>753.22101000000146</v>
      </c>
      <c r="N18" s="32">
        <f t="shared" si="3"/>
        <v>0.61337215798045719</v>
      </c>
      <c r="O18" s="23"/>
    </row>
    <row r="19" spans="1:15">
      <c r="A19" s="20" t="s">
        <v>12</v>
      </c>
      <c r="B19" s="21">
        <v>96</v>
      </c>
      <c r="C19" s="62">
        <v>37.483300000000071</v>
      </c>
      <c r="D19" s="22">
        <f t="shared" si="0"/>
        <v>0.39045104166666739</v>
      </c>
      <c r="E19" s="21"/>
      <c r="G19" s="23">
        <v>97</v>
      </c>
      <c r="H19" s="63">
        <v>64.030800000000426</v>
      </c>
      <c r="I19" s="24">
        <f t="shared" si="1"/>
        <v>0.66011134020619</v>
      </c>
      <c r="J19" s="23"/>
      <c r="L19" s="37">
        <f t="shared" si="2"/>
        <v>193</v>
      </c>
      <c r="M19" s="64">
        <v>102.06010000000121</v>
      </c>
      <c r="N19" s="32">
        <f t="shared" si="3"/>
        <v>0.52880880829016175</v>
      </c>
      <c r="O19" s="23"/>
    </row>
    <row r="20" spans="1:15" ht="20.100000000000001" customHeight="1">
      <c r="A20" s="76" t="s">
        <v>13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</row>
    <row r="21" spans="1:15">
      <c r="A21" s="20" t="s">
        <v>14</v>
      </c>
      <c r="B21" s="36">
        <v>950</v>
      </c>
      <c r="C21" s="46">
        <v>775</v>
      </c>
      <c r="D21" s="22">
        <f t="shared" ref="D21:D28" si="4">IF(OR(B21="",C21=""),"",IFERROR(C21/B21,""))</f>
        <v>0.81578947368421051</v>
      </c>
      <c r="E21" s="21"/>
      <c r="G21" s="36">
        <v>950</v>
      </c>
      <c r="H21" s="36">
        <v>744</v>
      </c>
      <c r="I21" s="24">
        <f t="shared" ref="I21:I28" si="5">IF(OR(G21="",H21=""),"",IFERROR(H21/G21,""))</f>
        <v>0.78315789473684205</v>
      </c>
      <c r="J21" s="23"/>
      <c r="L21" s="37">
        <f t="shared" ref="L21:L28" si="6">IF(N(B21)+N(G21)=0,"",B21+G21)</f>
        <v>1900</v>
      </c>
      <c r="M21" s="37">
        <v>1540</v>
      </c>
      <c r="N21" s="24">
        <f t="shared" ref="N21:N28" si="7">IF(OR(L21="",M21=""),"",IFERROR(M21/L21,""))</f>
        <v>0.81052631578947365</v>
      </c>
      <c r="O21" s="23"/>
    </row>
    <row r="22" spans="1:15">
      <c r="A22" s="20" t="s">
        <v>6</v>
      </c>
      <c r="B22" s="21">
        <v>550</v>
      </c>
      <c r="C22" s="47">
        <v>444</v>
      </c>
      <c r="D22" s="22">
        <f t="shared" si="4"/>
        <v>0.80727272727272725</v>
      </c>
      <c r="E22" s="21"/>
      <c r="G22" s="23">
        <v>560</v>
      </c>
      <c r="H22" s="23">
        <v>458</v>
      </c>
      <c r="I22" s="24">
        <f t="shared" si="5"/>
        <v>0.81785714285714284</v>
      </c>
      <c r="J22" s="23"/>
      <c r="L22" s="37">
        <f t="shared" si="6"/>
        <v>1110</v>
      </c>
      <c r="M22" s="37">
        <v>916</v>
      </c>
      <c r="N22" s="24">
        <f t="shared" si="7"/>
        <v>0.82522522522522523</v>
      </c>
      <c r="O22" s="23"/>
    </row>
    <row r="23" spans="1:15">
      <c r="A23" s="20" t="s">
        <v>15</v>
      </c>
      <c r="B23" s="21">
        <v>33690</v>
      </c>
      <c r="C23" s="21">
        <v>27845</v>
      </c>
      <c r="D23" s="22">
        <f t="shared" si="4"/>
        <v>0.82650638171564261</v>
      </c>
      <c r="E23" s="21"/>
      <c r="G23" s="23">
        <v>34065</v>
      </c>
      <c r="H23" s="23">
        <v>26295</v>
      </c>
      <c r="I23" s="24">
        <f t="shared" si="5"/>
        <v>0.77190664905328055</v>
      </c>
      <c r="J23" s="23"/>
      <c r="L23" s="45">
        <f t="shared" si="6"/>
        <v>67755</v>
      </c>
      <c r="M23" s="37">
        <v>54930</v>
      </c>
      <c r="N23" s="24">
        <f t="shared" si="7"/>
        <v>0.81071507637812712</v>
      </c>
      <c r="O23" s="23"/>
    </row>
    <row r="24" spans="1:15">
      <c r="A24" s="20" t="s">
        <v>16</v>
      </c>
      <c r="B24" s="21">
        <v>4.2</v>
      </c>
      <c r="C24" s="48">
        <v>3.9561290322580644</v>
      </c>
      <c r="D24" s="22">
        <f t="shared" si="4"/>
        <v>0.9419354838709677</v>
      </c>
      <c r="E24" s="21"/>
      <c r="G24" s="23">
        <v>4.3</v>
      </c>
      <c r="H24" s="66">
        <v>4.077956989247312</v>
      </c>
      <c r="I24" s="24">
        <f t="shared" si="5"/>
        <v>0.94836209052263076</v>
      </c>
      <c r="J24" s="23"/>
      <c r="L24" s="37">
        <f t="shared" si="6"/>
        <v>8.5</v>
      </c>
      <c r="M24" s="67">
        <v>4.0032467532467528</v>
      </c>
      <c r="N24" s="24">
        <f t="shared" si="7"/>
        <v>0.47097020626432384</v>
      </c>
      <c r="O24" s="23"/>
    </row>
    <row r="25" spans="1:15">
      <c r="A25" s="20" t="s">
        <v>8</v>
      </c>
      <c r="B25" s="21">
        <v>68</v>
      </c>
      <c r="C25" s="47">
        <v>62</v>
      </c>
      <c r="D25" s="22">
        <f t="shared" si="4"/>
        <v>0.91176470588235292</v>
      </c>
      <c r="E25" s="21"/>
      <c r="G25" s="23">
        <v>61</v>
      </c>
      <c r="H25" s="23">
        <v>43</v>
      </c>
      <c r="I25" s="24">
        <f t="shared" si="5"/>
        <v>0.70491803278688525</v>
      </c>
      <c r="J25" s="23"/>
      <c r="L25" s="37">
        <f t="shared" si="6"/>
        <v>129</v>
      </c>
      <c r="M25" s="37">
        <v>106</v>
      </c>
      <c r="N25" s="24">
        <f t="shared" si="7"/>
        <v>0.82170542635658916</v>
      </c>
      <c r="O25" s="23"/>
    </row>
    <row r="26" spans="1:15">
      <c r="A26" s="20" t="s">
        <v>9</v>
      </c>
      <c r="B26" s="21">
        <v>833</v>
      </c>
      <c r="C26" s="47">
        <v>691</v>
      </c>
      <c r="D26" s="22">
        <f t="shared" si="4"/>
        <v>0.82953181272509002</v>
      </c>
      <c r="E26" s="21"/>
      <c r="G26" s="23">
        <v>786</v>
      </c>
      <c r="H26" s="23">
        <v>641</v>
      </c>
      <c r="I26" s="24">
        <f t="shared" si="5"/>
        <v>0.81552162849872778</v>
      </c>
      <c r="J26" s="23"/>
      <c r="L26" s="37">
        <f t="shared" si="6"/>
        <v>1619</v>
      </c>
      <c r="M26" s="37">
        <v>1351</v>
      </c>
      <c r="N26" s="24">
        <f t="shared" si="7"/>
        <v>0.83446571957998761</v>
      </c>
      <c r="O26" s="23"/>
    </row>
    <row r="27" spans="1:15">
      <c r="A27" s="20" t="s">
        <v>10</v>
      </c>
      <c r="B27" s="21">
        <v>579</v>
      </c>
      <c r="C27" s="47">
        <v>484</v>
      </c>
      <c r="D27" s="22">
        <f t="shared" si="4"/>
        <v>0.83592400690846291</v>
      </c>
      <c r="E27" s="21"/>
      <c r="G27" s="23">
        <v>586</v>
      </c>
      <c r="H27" s="23">
        <v>486</v>
      </c>
      <c r="I27" s="24">
        <f t="shared" si="5"/>
        <v>0.82935153583617749</v>
      </c>
      <c r="J27" s="23"/>
      <c r="L27" s="45">
        <f t="shared" si="6"/>
        <v>1165</v>
      </c>
      <c r="M27" s="37">
        <v>975</v>
      </c>
      <c r="N27" s="24">
        <f t="shared" si="7"/>
        <v>0.83690987124463523</v>
      </c>
      <c r="O27" s="23"/>
    </row>
    <row r="28" spans="1:15">
      <c r="A28" s="20" t="s">
        <v>12</v>
      </c>
      <c r="B28" s="21">
        <v>304</v>
      </c>
      <c r="C28" s="47">
        <v>247</v>
      </c>
      <c r="D28" s="22">
        <f t="shared" si="4"/>
        <v>0.8125</v>
      </c>
      <c r="E28" s="21"/>
      <c r="G28" s="23">
        <v>346</v>
      </c>
      <c r="H28" s="23">
        <v>304</v>
      </c>
      <c r="I28" s="24">
        <f t="shared" si="5"/>
        <v>0.87861271676300579</v>
      </c>
      <c r="J28" s="23"/>
      <c r="L28" s="37">
        <f t="shared" si="6"/>
        <v>650</v>
      </c>
      <c r="M28" s="37">
        <v>554</v>
      </c>
      <c r="N28" s="24">
        <f t="shared" si="7"/>
        <v>0.85230769230769232</v>
      </c>
      <c r="O28" s="23"/>
    </row>
    <row r="29" spans="1:15">
      <c r="A29" s="20" t="s">
        <v>17</v>
      </c>
      <c r="B29" s="47">
        <v>444</v>
      </c>
      <c r="C29" s="47">
        <v>775</v>
      </c>
      <c r="D29" s="22">
        <f>IF(OR(B29="",C29=""),"",IFERROR(B29/C29,""))</f>
        <v>0.57290322580645159</v>
      </c>
      <c r="E29" s="22"/>
      <c r="G29" s="54">
        <v>458</v>
      </c>
      <c r="H29" s="23">
        <v>744</v>
      </c>
      <c r="I29" s="24">
        <f>IF(OR(G29="",H29=""),"",IFERROR(G29/H29,""))</f>
        <v>0.61559139784946237</v>
      </c>
      <c r="J29" s="24"/>
      <c r="L29" s="60">
        <v>916</v>
      </c>
      <c r="M29" s="37">
        <v>1540</v>
      </c>
      <c r="N29" s="24">
        <f>IF(OR(L29="",M29=""),"",IFERROR(L29/M29,""))</f>
        <v>0.59480519480519478</v>
      </c>
      <c r="O29" s="24"/>
    </row>
    <row r="30" spans="1:15">
      <c r="A30" s="20" t="s">
        <v>18</v>
      </c>
      <c r="B30" s="47">
        <v>234</v>
      </c>
      <c r="C30" s="47">
        <v>357</v>
      </c>
      <c r="D30" s="22">
        <f>IF(OR(B30="",C30=""),"",IFERROR(B30/C30,""))</f>
        <v>0.65546218487394958</v>
      </c>
      <c r="E30" s="22"/>
      <c r="G30" s="54">
        <v>235</v>
      </c>
      <c r="H30" s="23">
        <v>352</v>
      </c>
      <c r="I30" s="24">
        <f>IF(OR(G30="",H30=""),"",IFERROR(G30/H30,""))</f>
        <v>0.66761363636363635</v>
      </c>
      <c r="J30" s="24"/>
      <c r="L30" s="60">
        <v>471</v>
      </c>
      <c r="M30" s="37">
        <v>723</v>
      </c>
      <c r="N30" s="24">
        <f>IF(OR(L30="",M30=""),"",IFERROR(L30/M30,""))</f>
        <v>0.65145228215767637</v>
      </c>
      <c r="O30" s="24"/>
    </row>
    <row r="31" spans="1:15">
      <c r="A31" s="20" t="s">
        <v>19</v>
      </c>
      <c r="B31" s="47">
        <v>357</v>
      </c>
      <c r="C31" s="47">
        <v>444</v>
      </c>
      <c r="D31" s="22">
        <f>IF(OR(B31="",C31=""),"",IFERROR(B31/C31,""))</f>
        <v>0.80405405405405406</v>
      </c>
      <c r="E31" s="22"/>
      <c r="G31" s="54">
        <v>352</v>
      </c>
      <c r="H31" s="23">
        <v>458</v>
      </c>
      <c r="I31" s="24">
        <f>IF(OR(G31="",H31=""),"",IFERROR(G31/H31,""))</f>
        <v>0.76855895196506552</v>
      </c>
      <c r="J31" s="24"/>
      <c r="L31" s="60">
        <v>723</v>
      </c>
      <c r="M31" s="37">
        <v>916</v>
      </c>
      <c r="N31" s="24">
        <f>IF(OR(L31="",M31=""),"",IFERROR(L31/M31,""))</f>
        <v>0.7893013100436681</v>
      </c>
      <c r="O31" s="24"/>
    </row>
    <row r="32" spans="1:15" ht="15" thickBot="1">
      <c r="A32" s="27" t="s">
        <v>20</v>
      </c>
      <c r="B32" s="49">
        <v>234</v>
      </c>
      <c r="C32" s="49">
        <v>688</v>
      </c>
      <c r="D32" s="28">
        <f>IF(OR(B32="",C32=""),"",IFERROR(B32/C32,""))</f>
        <v>0.34011627906976744</v>
      </c>
      <c r="E32" s="28"/>
      <c r="G32" s="55">
        <v>230</v>
      </c>
      <c r="H32" s="65">
        <v>638</v>
      </c>
      <c r="I32" s="29">
        <f>IF(OR(G32="",H32=""),"",IFERROR(G32/H32,""))</f>
        <v>0.36050156739811912</v>
      </c>
      <c r="J32" s="29"/>
      <c r="L32" s="60">
        <v>473</v>
      </c>
      <c r="M32" s="37">
        <v>1345</v>
      </c>
      <c r="N32" s="29">
        <f>IF(OR(L32="",M32=""),"",IFERROR(L32/M32,""))</f>
        <v>0.35167286245353158</v>
      </c>
      <c r="O32" s="29"/>
    </row>
    <row r="33" spans="1:15" ht="20.100000000000001" customHeight="1" thickBot="1">
      <c r="A33" s="73" t="s">
        <v>21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</row>
    <row r="34" spans="1:15" ht="15" thickBot="1">
      <c r="A34" s="33" t="s">
        <v>22</v>
      </c>
      <c r="B34" s="50">
        <v>1648</v>
      </c>
      <c r="C34" s="50">
        <v>113</v>
      </c>
      <c r="D34" s="34">
        <f>IF(OR(B34="",C34=""),"",IFERROR(C34/B34,""))</f>
        <v>6.8567961165048541E-2</v>
      </c>
      <c r="E34" s="34"/>
      <c r="G34" s="56">
        <v>1318</v>
      </c>
      <c r="H34" s="56">
        <v>107</v>
      </c>
      <c r="I34" s="35">
        <f>IF(OR(G34="",H34=""),"",IFERROR(H34/G34,""))</f>
        <v>8.1183611532625183E-2</v>
      </c>
      <c r="J34" s="35"/>
      <c r="L34" s="56">
        <v>3036</v>
      </c>
      <c r="M34" s="56">
        <v>223</v>
      </c>
      <c r="N34" s="35">
        <f>IF(OR(L34="",M34=""),"",IFERROR(M34/L34,""))</f>
        <v>7.3451910408432144E-2</v>
      </c>
      <c r="O34" s="35"/>
    </row>
    <row r="35" spans="1:15" ht="20.100000000000001" customHeight="1" thickBot="1">
      <c r="A35" s="73" t="s">
        <v>23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</row>
    <row r="36" spans="1:15">
      <c r="A36" s="30" t="s">
        <v>24</v>
      </c>
      <c r="B36" s="31">
        <v>0.9</v>
      </c>
      <c r="C36" s="51">
        <v>0.91875401412973667</v>
      </c>
      <c r="D36" s="31">
        <f>IF(OR(B36="",C36=""),"",IFERROR(C36/B36,""))</f>
        <v>1.0208377934774853</v>
      </c>
      <c r="E36" s="31"/>
      <c r="G36" s="32">
        <v>0.9</v>
      </c>
      <c r="H36" s="57">
        <v>0.77650063856960405</v>
      </c>
      <c r="I36" s="32">
        <f>IF(OR(G36="",H36=""),"",IFERROR(H36/G36,""))</f>
        <v>0.86277848729956008</v>
      </c>
      <c r="J36" s="32"/>
      <c r="L36" s="32">
        <v>0.9</v>
      </c>
      <c r="M36" s="57">
        <v>0.82506608614523402</v>
      </c>
      <c r="N36" s="32">
        <f>IF(OR(L36="",M36=""),"",IFERROR(M36/L36,""))</f>
        <v>0.91674009571692672</v>
      </c>
      <c r="O36" s="32"/>
    </row>
    <row r="37" spans="1:15" ht="15" thickBot="1">
      <c r="A37" s="27" t="s">
        <v>25</v>
      </c>
      <c r="B37" s="28">
        <v>0.5</v>
      </c>
      <c r="C37" s="28"/>
      <c r="D37" s="28" t="str">
        <f>IF(OR(B37="",C37=""),"",IFERROR(C37/B37,""))</f>
        <v/>
      </c>
      <c r="E37" s="28"/>
      <c r="G37" s="29">
        <v>0.5</v>
      </c>
      <c r="H37" s="29"/>
      <c r="I37" s="29" t="str">
        <f>IF(OR(G37="",H37=""),"",IFERROR(H37/G37,""))</f>
        <v/>
      </c>
      <c r="J37" s="29"/>
      <c r="L37" s="29">
        <v>0.5</v>
      </c>
      <c r="M37" s="29"/>
      <c r="N37" s="29" t="str">
        <f>IF(OR(L37="",M37=""),"",IFERROR(M37/L37,""))</f>
        <v/>
      </c>
      <c r="O37" s="29"/>
    </row>
    <row r="38" spans="1:15" ht="20.100000000000001" customHeight="1" thickBot="1">
      <c r="A38" s="73" t="s">
        <v>26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</row>
    <row r="39" spans="1:15" ht="15" thickBot="1">
      <c r="A39" s="30" t="s">
        <v>27</v>
      </c>
      <c r="B39" s="52"/>
      <c r="C39" s="52"/>
      <c r="D39" s="31"/>
      <c r="E39" s="36"/>
      <c r="G39" s="58"/>
      <c r="H39" s="58"/>
      <c r="I39" s="32"/>
      <c r="J39" s="37"/>
      <c r="L39" s="58"/>
      <c r="M39" s="58"/>
      <c r="N39" s="32"/>
      <c r="O39" s="37"/>
    </row>
    <row r="40" spans="1:15" ht="20.100000000000001" customHeight="1" thickBot="1">
      <c r="A40" s="73" t="s">
        <v>28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</row>
    <row r="41" spans="1:15" ht="15" thickBot="1">
      <c r="A41" s="33" t="s">
        <v>29</v>
      </c>
      <c r="B41" s="38">
        <v>507</v>
      </c>
      <c r="C41" s="38"/>
      <c r="D41" s="34" t="str">
        <f>IF(OR(B41="",C41=""),"",IFERROR(C41/B41,""))</f>
        <v/>
      </c>
      <c r="E41" s="38"/>
      <c r="G41" s="39">
        <v>408</v>
      </c>
      <c r="H41" s="39"/>
      <c r="I41" s="35" t="str">
        <f>IF(OR(G41="",H41=""),"",IFERROR(H41/G41,""))</f>
        <v/>
      </c>
      <c r="J41" s="39"/>
      <c r="L41" s="39"/>
      <c r="M41" s="39"/>
      <c r="N41" s="35" t="str">
        <f>IF(OR(L41="",M41=""),"",IFERROR(M41/L41,""))</f>
        <v/>
      </c>
      <c r="O41" s="39"/>
    </row>
    <row r="42" spans="1:15" ht="20.100000000000001" customHeight="1" thickBot="1">
      <c r="A42" s="73" t="s">
        <v>30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/>
    </row>
    <row r="43" spans="1:15">
      <c r="A43" s="30" t="s">
        <v>31</v>
      </c>
      <c r="B43" s="31">
        <v>0.3</v>
      </c>
      <c r="C43" s="51">
        <v>0.28853454821564162</v>
      </c>
      <c r="D43" s="31">
        <f>IF(OR(B43="",C43=""),"",IFERROR(C43/B43,""))</f>
        <v>0.96178182738547213</v>
      </c>
      <c r="E43" s="31"/>
      <c r="G43" s="32">
        <v>0.3</v>
      </c>
      <c r="H43" s="57">
        <v>0.23261589403973509</v>
      </c>
      <c r="I43" s="32">
        <f>IF(OR(G43="",H43=""),"",IFERROR(H43/G43,""))</f>
        <v>0.77538631346578368</v>
      </c>
      <c r="J43" s="32"/>
      <c r="L43" s="32">
        <v>0.3</v>
      </c>
      <c r="M43" s="57">
        <v>0.26076742364917777</v>
      </c>
      <c r="N43" s="32">
        <f>IF(OR(L43="",M43=""),"",IFERROR(M43/L43,""))</f>
        <v>0.86922474549725925</v>
      </c>
      <c r="O43" s="32"/>
    </row>
    <row r="44" spans="1:15">
      <c r="A44" s="20" t="s">
        <v>32</v>
      </c>
      <c r="B44" s="22">
        <v>0.3</v>
      </c>
      <c r="C44" s="53">
        <v>0.1434623988958843</v>
      </c>
      <c r="D44" s="22">
        <f>IF(OR(B44="",C44=""),"",IFERROR(C44/B44,""))</f>
        <v>0.47820799631961436</v>
      </c>
      <c r="E44" s="22"/>
      <c r="G44" s="24">
        <v>0.3</v>
      </c>
      <c r="H44" s="59">
        <v>0.1944718985541731</v>
      </c>
      <c r="I44" s="24">
        <f>IF(OR(G44="",H44=""),"",IFERROR(H44/G44,""))</f>
        <v>0.64823966184724369</v>
      </c>
      <c r="J44" s="24"/>
      <c r="L44" s="24">
        <v>0.3</v>
      </c>
      <c r="M44" s="59">
        <v>0.16538158751969864</v>
      </c>
      <c r="N44" s="24">
        <f>IF(OR(L44="",M44=""),"",IFERROR(M44/L44,""))</f>
        <v>0.55127195839899545</v>
      </c>
      <c r="O44" s="24"/>
    </row>
    <row r="45" spans="1:15">
      <c r="A45" s="20" t="s">
        <v>33</v>
      </c>
      <c r="B45" s="22">
        <v>0.3</v>
      </c>
      <c r="C45" s="53">
        <v>0.36516129032258066</v>
      </c>
      <c r="D45" s="22">
        <f>IF(OR(B45="",C45=""),"",IFERROR(C45/B45,""))</f>
        <v>1.2172043010752689</v>
      </c>
      <c r="E45" s="22"/>
      <c r="G45" s="24">
        <v>0.3</v>
      </c>
      <c r="H45" s="59">
        <v>0.29301075268817206</v>
      </c>
      <c r="I45" s="24">
        <f>IF(OR(G45="",H45=""),"",IFERROR(H45/G45,""))</f>
        <v>0.97670250896057353</v>
      </c>
      <c r="J45" s="24"/>
      <c r="L45" s="24">
        <v>0.3</v>
      </c>
      <c r="M45" s="59">
        <v>0.32792207792207795</v>
      </c>
      <c r="N45" s="24">
        <f>IF(OR(L45="",M45=""),"",IFERROR(M45/L45,""))</f>
        <v>1.0930735930735933</v>
      </c>
      <c r="O45" s="24"/>
    </row>
    <row r="46" spans="1:15">
      <c r="A46" s="25"/>
      <c r="B46" s="25"/>
      <c r="C46" s="25"/>
      <c r="D46" s="25"/>
      <c r="E46" s="25"/>
      <c r="G46" s="25"/>
      <c r="H46" s="25"/>
      <c r="I46" s="25"/>
      <c r="J46" s="25"/>
      <c r="L46" s="25"/>
      <c r="M46" s="25"/>
      <c r="N46" s="25"/>
      <c r="O46" s="25"/>
    </row>
  </sheetData>
  <mergeCells count="29">
    <mergeCell ref="A40:O40"/>
    <mergeCell ref="A42:O42"/>
    <mergeCell ref="L4:O4"/>
    <mergeCell ref="B3:C3"/>
    <mergeCell ref="D3:H3"/>
    <mergeCell ref="I3:J3"/>
    <mergeCell ref="D4:H4"/>
    <mergeCell ref="L3:M3"/>
    <mergeCell ref="N3:O3"/>
    <mergeCell ref="D5:H5"/>
    <mergeCell ref="D6:H6"/>
    <mergeCell ref="D7:H7"/>
    <mergeCell ref="I4:J4"/>
    <mergeCell ref="I5:J5"/>
    <mergeCell ref="I6:J6"/>
    <mergeCell ref="I7:J7"/>
    <mergeCell ref="A11:O11"/>
    <mergeCell ref="A20:O20"/>
    <mergeCell ref="A33:O33"/>
    <mergeCell ref="A35:O35"/>
    <mergeCell ref="A38:O38"/>
    <mergeCell ref="A2:J2"/>
    <mergeCell ref="B9:E9"/>
    <mergeCell ref="G9:J9"/>
    <mergeCell ref="A1:O1"/>
    <mergeCell ref="L5:N5"/>
    <mergeCell ref="L6:N6"/>
    <mergeCell ref="L7:N7"/>
    <mergeCell ref="L9:O9"/>
  </mergeCells>
  <conditionalFormatting sqref="D12:D19 D21:D32 D34 D36:D37 D39 D41 D43:D45">
    <cfRule type="expression" dxfId="12" priority="10">
      <formula>AND(D12&lt;&gt;"",D12&gt;=1)</formula>
    </cfRule>
    <cfRule type="expression" dxfId="11" priority="11">
      <formula>AND(D12&lt;&gt;"",D12&gt;=0.9,D12&lt;1)</formula>
    </cfRule>
    <cfRule type="expression" dxfId="10" priority="12">
      <formula>AND(D12&lt;&gt;"",D12&lt;0.9)</formula>
    </cfRule>
  </conditionalFormatting>
  <conditionalFormatting sqref="I12:I19 I21:I32 I34 I36:I37 I39 I41 I43:I45">
    <cfRule type="expression" dxfId="9" priority="13">
      <formula>AND(I12&lt;&gt;"",I12&gt;=1)</formula>
    </cfRule>
    <cfRule type="expression" dxfId="8" priority="14">
      <formula>AND(I12&lt;&gt;"",I12&gt;=0.9,I12&lt;1)</formula>
    </cfRule>
    <cfRule type="expression" dxfId="7" priority="15">
      <formula>AND(I12&lt;&gt;"",I12&lt;0.9)</formula>
    </cfRule>
  </conditionalFormatting>
  <conditionalFormatting sqref="N12:N19 N21:N32 N34 N36:N37 N39 N41 N43:N45">
    <cfRule type="expression" dxfId="6" priority="1">
      <formula>AND(N12&lt;&gt;"",N12&gt;=1)</formula>
    </cfRule>
    <cfRule type="expression" dxfId="5" priority="2">
      <formula>AND(N12&lt;&gt;"",N12&gt;=0.9,N12&lt;1)</formula>
    </cfRule>
    <cfRule type="expression" dxfId="4" priority="3">
      <formula>AND(N12&lt;&gt;"",N12&lt;0.9)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Normal="60" zoomScaleSheetLayoutView="100" workbookViewId="0">
      <selection activeCell="B25" sqref="B25"/>
    </sheetView>
  </sheetViews>
  <sheetFormatPr defaultRowHeight="14.25"/>
  <cols>
    <col min="1" max="1" width="16" customWidth="1"/>
    <col min="2" max="2" width="34" customWidth="1"/>
    <col min="3" max="3" width="26" customWidth="1"/>
    <col min="4" max="4" width="20" customWidth="1"/>
    <col min="5" max="5" width="12" customWidth="1"/>
    <col min="6" max="6" width="23" customWidth="1"/>
    <col min="7" max="8" width="36" customWidth="1"/>
  </cols>
  <sheetData>
    <row r="1" spans="1:8" ht="27.95" customHeight="1">
      <c r="A1" s="85" t="s">
        <v>34</v>
      </c>
      <c r="B1" s="85"/>
      <c r="C1" s="85"/>
      <c r="D1" s="85"/>
      <c r="E1" s="85"/>
      <c r="F1" s="85"/>
      <c r="G1" s="85"/>
      <c r="H1" s="85"/>
    </row>
    <row r="2" spans="1:8" ht="21.95" customHeight="1">
      <c r="A2" s="68" t="s">
        <v>35</v>
      </c>
      <c r="B2" s="68"/>
      <c r="C2" s="68"/>
      <c r="D2" s="68"/>
      <c r="E2" s="68"/>
      <c r="F2" s="68"/>
      <c r="G2" s="68"/>
      <c r="H2" s="68"/>
    </row>
    <row r="4" spans="1:8" ht="30" customHeight="1">
      <c r="A4" s="8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10" t="s">
        <v>43</v>
      </c>
    </row>
    <row r="5" spans="1:8">
      <c r="A5" s="11"/>
      <c r="B5" s="12"/>
      <c r="C5" s="12"/>
      <c r="D5" s="12"/>
      <c r="E5" s="13"/>
      <c r="F5" s="12"/>
      <c r="G5" s="12"/>
      <c r="H5" s="14"/>
    </row>
    <row r="6" spans="1:8">
      <c r="A6" s="11"/>
      <c r="B6" s="12"/>
      <c r="C6" s="12"/>
      <c r="D6" s="12"/>
      <c r="E6" s="13"/>
      <c r="F6" s="12"/>
      <c r="G6" s="12"/>
      <c r="H6" s="14"/>
    </row>
    <row r="7" spans="1:8">
      <c r="A7" s="11"/>
      <c r="B7" s="12"/>
      <c r="C7" s="12"/>
      <c r="D7" s="12"/>
      <c r="E7" s="13"/>
      <c r="F7" s="12"/>
      <c r="G7" s="12"/>
      <c r="H7" s="14"/>
    </row>
    <row r="8" spans="1:8">
      <c r="A8" s="11"/>
      <c r="B8" s="12"/>
      <c r="C8" s="12"/>
      <c r="D8" s="12"/>
      <c r="E8" s="13"/>
      <c r="F8" s="12"/>
      <c r="G8" s="12"/>
      <c r="H8" s="14"/>
    </row>
    <row r="9" spans="1:8">
      <c r="A9" s="11"/>
      <c r="B9" s="12"/>
      <c r="C9" s="12"/>
      <c r="D9" s="12"/>
      <c r="E9" s="13"/>
      <c r="F9" s="12"/>
      <c r="G9" s="12"/>
      <c r="H9" s="14"/>
    </row>
    <row r="10" spans="1:8">
      <c r="A10" s="11"/>
      <c r="B10" s="12"/>
      <c r="C10" s="12"/>
      <c r="D10" s="12"/>
      <c r="E10" s="13"/>
      <c r="F10" s="12"/>
      <c r="G10" s="12"/>
      <c r="H10" s="14"/>
    </row>
    <row r="11" spans="1:8">
      <c r="A11" s="11"/>
      <c r="B11" s="12"/>
      <c r="C11" s="12"/>
      <c r="D11" s="12"/>
      <c r="E11" s="13"/>
      <c r="F11" s="12"/>
      <c r="G11" s="12"/>
      <c r="H11" s="14"/>
    </row>
    <row r="12" spans="1:8">
      <c r="A12" s="11"/>
      <c r="B12" s="12"/>
      <c r="C12" s="12"/>
      <c r="D12" s="12"/>
      <c r="E12" s="13"/>
      <c r="F12" s="12"/>
      <c r="G12" s="12"/>
      <c r="H12" s="14"/>
    </row>
    <row r="13" spans="1:8">
      <c r="A13" s="11"/>
      <c r="B13" s="12"/>
      <c r="C13" s="12"/>
      <c r="D13" s="12"/>
      <c r="E13" s="13"/>
      <c r="F13" s="12"/>
      <c r="G13" s="12"/>
      <c r="H13" s="14"/>
    </row>
    <row r="14" spans="1:8">
      <c r="A14" s="11"/>
      <c r="B14" s="12"/>
      <c r="C14" s="12"/>
      <c r="D14" s="12"/>
      <c r="E14" s="13"/>
      <c r="F14" s="12"/>
      <c r="G14" s="12"/>
      <c r="H14" s="14"/>
    </row>
    <row r="15" spans="1:8">
      <c r="A15" s="11"/>
      <c r="B15" s="12"/>
      <c r="C15" s="12"/>
      <c r="D15" s="12"/>
      <c r="E15" s="13"/>
      <c r="F15" s="12"/>
      <c r="G15" s="12"/>
      <c r="H15" s="14"/>
    </row>
    <row r="16" spans="1:8">
      <c r="A16" s="11"/>
      <c r="B16" s="12"/>
      <c r="C16" s="12"/>
      <c r="D16" s="12"/>
      <c r="E16" s="13"/>
      <c r="F16" s="12"/>
      <c r="G16" s="12"/>
      <c r="H16" s="14"/>
    </row>
    <row r="17" spans="1:8">
      <c r="A17" s="11"/>
      <c r="B17" s="12"/>
      <c r="C17" s="12"/>
      <c r="D17" s="12"/>
      <c r="E17" s="13"/>
      <c r="F17" s="12"/>
      <c r="G17" s="12"/>
      <c r="H17" s="14"/>
    </row>
    <row r="18" spans="1:8">
      <c r="A18" s="11"/>
      <c r="B18" s="12"/>
      <c r="C18" s="12"/>
      <c r="D18" s="12"/>
      <c r="E18" s="13"/>
      <c r="F18" s="12"/>
      <c r="G18" s="12"/>
      <c r="H18" s="14"/>
    </row>
    <row r="19" spans="1:8">
      <c r="A19" s="11"/>
      <c r="B19" s="12"/>
      <c r="C19" s="12"/>
      <c r="D19" s="12"/>
      <c r="E19" s="13"/>
      <c r="F19" s="12"/>
      <c r="G19" s="12"/>
      <c r="H19" s="14"/>
    </row>
    <row r="20" spans="1:8">
      <c r="A20" s="11"/>
      <c r="B20" s="12"/>
      <c r="C20" s="12"/>
      <c r="D20" s="12"/>
      <c r="E20" s="13"/>
      <c r="F20" s="12"/>
      <c r="G20" s="12"/>
      <c r="H20" s="14"/>
    </row>
    <row r="21" spans="1:8">
      <c r="A21" s="11"/>
      <c r="B21" s="12"/>
      <c r="C21" s="12"/>
      <c r="D21" s="12"/>
      <c r="E21" s="13"/>
      <c r="F21" s="12"/>
      <c r="G21" s="12"/>
      <c r="H21" s="14"/>
    </row>
    <row r="22" spans="1:8">
      <c r="A22" s="11"/>
      <c r="B22" s="12"/>
      <c r="C22" s="12"/>
      <c r="D22" s="12"/>
      <c r="E22" s="13"/>
      <c r="F22" s="12"/>
      <c r="G22" s="12"/>
      <c r="H22" s="14"/>
    </row>
    <row r="23" spans="1:8">
      <c r="A23" s="11"/>
      <c r="B23" s="12"/>
      <c r="C23" s="12"/>
      <c r="D23" s="12"/>
      <c r="E23" s="13"/>
      <c r="F23" s="12"/>
      <c r="G23" s="12"/>
      <c r="H23" s="14"/>
    </row>
    <row r="24" spans="1:8">
      <c r="A24" s="11"/>
      <c r="B24" s="12"/>
      <c r="C24" s="12"/>
      <c r="D24" s="12"/>
      <c r="E24" s="13"/>
      <c r="F24" s="12"/>
      <c r="G24" s="12"/>
      <c r="H24" s="14"/>
    </row>
    <row r="25" spans="1:8">
      <c r="A25" s="11"/>
      <c r="B25" s="12"/>
      <c r="C25" s="12"/>
      <c r="D25" s="12"/>
      <c r="E25" s="13"/>
      <c r="F25" s="12"/>
      <c r="G25" s="12"/>
      <c r="H25" s="14"/>
    </row>
    <row r="26" spans="1:8">
      <c r="A26" s="11"/>
      <c r="B26" s="12"/>
      <c r="C26" s="12"/>
      <c r="D26" s="12"/>
      <c r="E26" s="13"/>
      <c r="F26" s="12"/>
      <c r="G26" s="12"/>
      <c r="H26" s="14"/>
    </row>
    <row r="27" spans="1:8">
      <c r="A27" s="11"/>
      <c r="B27" s="12"/>
      <c r="C27" s="12"/>
      <c r="D27" s="12"/>
      <c r="E27" s="13"/>
      <c r="F27" s="12"/>
      <c r="G27" s="12"/>
      <c r="H27" s="14"/>
    </row>
    <row r="28" spans="1:8">
      <c r="A28" s="11"/>
      <c r="B28" s="12"/>
      <c r="C28" s="12"/>
      <c r="D28" s="12"/>
      <c r="E28" s="13"/>
      <c r="F28" s="12"/>
      <c r="G28" s="12"/>
      <c r="H28" s="14"/>
    </row>
    <row r="29" spans="1:8">
      <c r="A29" s="11"/>
      <c r="B29" s="12"/>
      <c r="C29" s="12"/>
      <c r="D29" s="12"/>
      <c r="E29" s="13"/>
      <c r="F29" s="12"/>
      <c r="G29" s="12"/>
      <c r="H29" s="14"/>
    </row>
    <row r="30" spans="1:8">
      <c r="A30" s="11"/>
      <c r="B30" s="12"/>
      <c r="C30" s="12"/>
      <c r="D30" s="12"/>
      <c r="E30" s="13"/>
      <c r="F30" s="12"/>
      <c r="G30" s="12"/>
      <c r="H30" s="14"/>
    </row>
    <row r="31" spans="1:8">
      <c r="A31" s="11"/>
      <c r="B31" s="12"/>
      <c r="C31" s="12"/>
      <c r="D31" s="12"/>
      <c r="E31" s="13"/>
      <c r="F31" s="12"/>
      <c r="G31" s="12"/>
      <c r="H31" s="14"/>
    </row>
    <row r="32" spans="1:8">
      <c r="A32" s="11"/>
      <c r="B32" s="12"/>
      <c r="C32" s="12"/>
      <c r="D32" s="12"/>
      <c r="E32" s="13"/>
      <c r="F32" s="12"/>
      <c r="G32" s="12"/>
      <c r="H32" s="14"/>
    </row>
    <row r="33" spans="1:8">
      <c r="A33" s="11"/>
      <c r="B33" s="12"/>
      <c r="C33" s="12"/>
      <c r="D33" s="12"/>
      <c r="E33" s="13"/>
      <c r="F33" s="12"/>
      <c r="G33" s="12"/>
      <c r="H33" s="14"/>
    </row>
    <row r="34" spans="1:8">
      <c r="A34" s="15"/>
      <c r="B34" s="16"/>
      <c r="C34" s="16"/>
      <c r="D34" s="16"/>
      <c r="E34" s="17"/>
      <c r="F34" s="16"/>
      <c r="G34" s="16"/>
      <c r="H34" s="18"/>
    </row>
  </sheetData>
  <mergeCells count="2">
    <mergeCell ref="A1:H1"/>
    <mergeCell ref="A2:H2"/>
  </mergeCells>
  <conditionalFormatting sqref="F5:F34">
    <cfRule type="expression" dxfId="3" priority="1">
      <formula>F5="Concluído"</formula>
    </cfRule>
    <cfRule type="expression" dxfId="2" priority="2">
      <formula>F5="Em andamento"</formula>
    </cfRule>
    <cfRule type="expression" dxfId="1" priority="3">
      <formula>F5="Não concluído"</formula>
    </cfRule>
    <cfRule type="expression" dxfId="0" priority="4">
      <formula>F5="Cancelado/sem aplicação"</formula>
    </cfRule>
  </conditionalFormatting>
  <dataValidations count="1">
    <dataValidation type="list" sqref="F5:F34" xr:uid="{00000000-0002-0000-0100-000001000000}">
      <formula1>"Concluído,Em andamento,Não concluído,Cancelado/sem aplicação"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Config!$B$2:$B$3</xm:f>
          </x14:formula1>
          <xm:sqref>A5:A34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60" zoomScaleSheetLayoutView="100" workbookViewId="0">
      <selection activeCell="B4" sqref="B4"/>
    </sheetView>
  </sheetViews>
  <sheetFormatPr defaultRowHeight="14.25"/>
  <cols>
    <col min="1" max="1" width="20" customWidth="1"/>
    <col min="2" max="2" width="58" customWidth="1"/>
  </cols>
  <sheetData>
    <row r="1" spans="1:2" ht="15">
      <c r="A1" s="1" t="s">
        <v>44</v>
      </c>
      <c r="B1" s="2" t="s">
        <v>45</v>
      </c>
    </row>
    <row r="2" spans="1:2" ht="15">
      <c r="A2" s="3" t="s">
        <v>46</v>
      </c>
      <c r="B2" s="4" t="s">
        <v>64</v>
      </c>
    </row>
    <row r="3" spans="1:2" ht="15">
      <c r="A3" s="3" t="s">
        <v>47</v>
      </c>
      <c r="B3" s="4" t="s">
        <v>65</v>
      </c>
    </row>
    <row r="4" spans="1:2" ht="15">
      <c r="A4" s="3" t="s">
        <v>48</v>
      </c>
      <c r="B4" s="5">
        <v>1</v>
      </c>
    </row>
    <row r="5" spans="1:2" ht="15">
      <c r="A5" s="3" t="s">
        <v>49</v>
      </c>
      <c r="B5" s="5">
        <v>0.9</v>
      </c>
    </row>
    <row r="6" spans="1:2" ht="29.25">
      <c r="A6" s="6" t="s">
        <v>50</v>
      </c>
      <c r="B6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RPS - Indicadores</vt:lpstr>
      <vt:lpstr>Plano de Ação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Wanthonny Alexsander Zaidan</dc:creator>
  <cp:lastModifiedBy>analista</cp:lastModifiedBy>
  <dcterms:created xsi:type="dcterms:W3CDTF">2026-08-18T13:26:20Z</dcterms:created>
  <dcterms:modified xsi:type="dcterms:W3CDTF">2026-08-21T17:24:47Z</dcterms:modified>
</cp:coreProperties>
</file>